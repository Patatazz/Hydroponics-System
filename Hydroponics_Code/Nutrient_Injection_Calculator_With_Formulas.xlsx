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jhnmr\Downloads\"/>
    </mc:Choice>
  </mc:AlternateContent>
  <xr:revisionPtr revIDLastSave="0" documentId="13_ncr:1_{A979238E-9F49-430B-9562-2F730C8964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utrient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L11" i="1" s="1"/>
  <c r="F11" i="1"/>
  <c r="H11" i="1" s="1"/>
  <c r="J10" i="1"/>
  <c r="L10" i="1" s="1"/>
  <c r="F10" i="1"/>
  <c r="H10" i="1" s="1"/>
  <c r="J9" i="1"/>
  <c r="L9" i="1" s="1"/>
  <c r="F9" i="1"/>
  <c r="H9" i="1" s="1"/>
  <c r="J17" i="1"/>
  <c r="L17" i="1" s="1"/>
  <c r="F17" i="1"/>
  <c r="H17" i="1" s="1"/>
  <c r="J16" i="1"/>
  <c r="L16" i="1" s="1"/>
  <c r="F16" i="1"/>
  <c r="H16" i="1" s="1"/>
  <c r="J15" i="1"/>
  <c r="L15" i="1" s="1"/>
  <c r="F15" i="1"/>
  <c r="H15" i="1" s="1"/>
  <c r="J8" i="1"/>
  <c r="L8" i="1" s="1"/>
  <c r="F8" i="1"/>
  <c r="H8" i="1" s="1"/>
  <c r="J7" i="1"/>
  <c r="L7" i="1" s="1"/>
  <c r="F7" i="1"/>
  <c r="H7" i="1" s="1"/>
  <c r="J6" i="1"/>
  <c r="L6" i="1" s="1"/>
  <c r="F6" i="1"/>
  <c r="H6" i="1" s="1"/>
  <c r="J14" i="1"/>
  <c r="L14" i="1" s="1"/>
  <c r="F14" i="1"/>
  <c r="H14" i="1" s="1"/>
  <c r="J13" i="1"/>
  <c r="L13" i="1" s="1"/>
  <c r="F13" i="1"/>
  <c r="H13" i="1" s="1"/>
  <c r="J12" i="1"/>
  <c r="L12" i="1" s="1"/>
  <c r="F12" i="1"/>
  <c r="H12" i="1" s="1"/>
  <c r="J4" i="1"/>
  <c r="L4" i="1" s="1"/>
  <c r="J5" i="1"/>
  <c r="L5" i="1" s="1"/>
  <c r="J3" i="1"/>
  <c r="L3" i="1" s="1"/>
  <c r="F4" i="1"/>
  <c r="H4" i="1" s="1"/>
  <c r="F5" i="1"/>
  <c r="H5" i="1" s="1"/>
  <c r="F3" i="1"/>
  <c r="H3" i="1" s="1"/>
</calcChain>
</file>

<file path=xl/sharedStrings.xml><?xml version="1.0" encoding="utf-8"?>
<sst xmlns="http://schemas.openxmlformats.org/spreadsheetml/2006/main" count="48" uniqueCount="29">
  <si>
    <t>Plant</t>
  </si>
  <si>
    <t>Nutrient</t>
  </si>
  <si>
    <t>Flow Rate (mL/s)</t>
  </si>
  <si>
    <t>Stock Needed (mL)</t>
  </si>
  <si>
    <t>Servo Time (s)</t>
  </si>
  <si>
    <t>N</t>
  </si>
  <si>
    <t>P</t>
  </si>
  <si>
    <t>K</t>
  </si>
  <si>
    <t>PPM</t>
  </si>
  <si>
    <t>ARUGULA</t>
  </si>
  <si>
    <t>Stock solution (g/L)</t>
  </si>
  <si>
    <t>Stock solution in 3.5L (g)</t>
  </si>
  <si>
    <t>Stock Concentration</t>
  </si>
  <si>
    <t xml:space="preserve"> Container for Stock Solution (L)</t>
  </si>
  <si>
    <t>Water Tank Volume (L)</t>
  </si>
  <si>
    <t>LETTUCE</t>
  </si>
  <si>
    <t>BOK CHOY</t>
  </si>
  <si>
    <t>MUSTARD GREEN</t>
  </si>
  <si>
    <t xml:space="preserve">KANGKONG </t>
  </si>
  <si>
    <t>RANGE AVERAGE</t>
  </si>
  <si>
    <t>100-200</t>
  </si>
  <si>
    <t>40-80</t>
  </si>
  <si>
    <t>Range</t>
  </si>
  <si>
    <t>150-250</t>
  </si>
  <si>
    <t>50-80</t>
  </si>
  <si>
    <t>150-200</t>
  </si>
  <si>
    <t>210-235</t>
  </si>
  <si>
    <t>150-210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</si>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</sst>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="115" zoomScaleNormal="115" workbookViewId="0">
      <selection activeCell="E22" sqref="E22"/>
    </sheetView>
  </sheetViews>
  <sheetFormatPr defaultRowHeight="14.4" x14ac:dyDescent="0.3"/>
  <cols>
    <col min="1" max="1" width="18.77734375" bestFit="1" customWidth="1"/>
    <col min="2" max="2" width="9.109375" bestFit="1" customWidth="1"/>
    <col min="3" max="3" width="5.33203125" bestFit="1" customWidth="1"/>
    <col min="4" max="4" width="8.5546875" bestFit="1" customWidth="1"/>
    <col min="5" max="5" width="20.88671875" bestFit="1" customWidth="1"/>
    <col min="6" max="6" width="19.88671875" bestFit="1" customWidth="1"/>
    <col min="7" max="7" width="32.44140625" bestFit="1" customWidth="1"/>
    <col min="8" max="8" width="25.109375" bestFit="1" customWidth="1"/>
    <col min="9" max="9" width="23.44140625" bestFit="1" customWidth="1"/>
    <col min="10" max="10" width="19.77734375" bestFit="1" customWidth="1"/>
    <col min="11" max="11" width="17.6640625" bestFit="1" customWidth="1"/>
    <col min="12" max="12" width="15.44140625" bestFit="1" customWidth="1"/>
    <col min="14" max="14" width="15.21875" bestFit="1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x14ac:dyDescent="0.3">
      <c r="A2" s="2" t="s">
        <v>0</v>
      </c>
      <c r="B2" s="3" t="s">
        <v>1</v>
      </c>
      <c r="C2" s="4" t="s">
        <v>8</v>
      </c>
      <c r="D2" s="3" t="s">
        <v>22</v>
      </c>
      <c r="E2" s="2" t="s">
        <v>12</v>
      </c>
      <c r="F2" s="3" t="s">
        <v>10</v>
      </c>
      <c r="G2" s="3" t="s">
        <v>13</v>
      </c>
      <c r="H2" s="4" t="s">
        <v>11</v>
      </c>
      <c r="I2" s="2" t="s">
        <v>14</v>
      </c>
      <c r="J2" s="3" t="s">
        <v>3</v>
      </c>
      <c r="K2" s="3" t="s">
        <v>2</v>
      </c>
      <c r="L2" s="4" t="s">
        <v>4</v>
      </c>
    </row>
    <row r="3" spans="1:14" x14ac:dyDescent="0.3">
      <c r="A3" s="15" t="s">
        <v>9</v>
      </c>
      <c r="B3" s="9" t="s">
        <v>5</v>
      </c>
      <c r="C3" s="10">
        <v>103</v>
      </c>
      <c r="D3" s="23" t="s">
        <v>28</v>
      </c>
      <c r="E3" s="15">
        <v>100</v>
      </c>
      <c r="F3" s="9">
        <f>(C3*E$3)/1000</f>
        <v>10.3</v>
      </c>
      <c r="G3" s="18">
        <v>3.5</v>
      </c>
      <c r="H3" s="10">
        <f>F3*G$3</f>
        <v>36.050000000000004</v>
      </c>
      <c r="I3" s="15">
        <v>32.4</v>
      </c>
      <c r="J3" s="9">
        <f>(C3/E$3)*I$3</f>
        <v>33.372</v>
      </c>
      <c r="K3" s="18">
        <v>19</v>
      </c>
      <c r="L3" s="10">
        <f>J3/K$3</f>
        <v>1.7564210526315789</v>
      </c>
    </row>
    <row r="4" spans="1:14" x14ac:dyDescent="0.3">
      <c r="A4" s="16"/>
      <c r="B4" s="5" t="s">
        <v>6</v>
      </c>
      <c r="C4" s="6">
        <v>41</v>
      </c>
      <c r="D4" s="24" t="s">
        <v>28</v>
      </c>
      <c r="E4" s="16"/>
      <c r="F4" s="5">
        <f t="shared" ref="F4:F5" si="0">(C4*E$3)/1000</f>
        <v>4.0999999999999996</v>
      </c>
      <c r="G4" s="19"/>
      <c r="H4" s="6">
        <f t="shared" ref="H4:H5" si="1">F4*G$3</f>
        <v>14.349999999999998</v>
      </c>
      <c r="I4" s="16"/>
      <c r="J4" s="5">
        <f t="shared" ref="J4:J5" si="2">(C4/E$3)*I$3</f>
        <v>13.283999999999999</v>
      </c>
      <c r="K4" s="19"/>
      <c r="L4" s="6">
        <f t="shared" ref="L4:L5" si="3">J4/K$3</f>
        <v>0.69915789473684209</v>
      </c>
    </row>
    <row r="5" spans="1:14" x14ac:dyDescent="0.3">
      <c r="A5" s="17"/>
      <c r="B5" s="7" t="s">
        <v>7</v>
      </c>
      <c r="C5" s="8">
        <v>168</v>
      </c>
      <c r="D5" s="25" t="s">
        <v>28</v>
      </c>
      <c r="E5" s="16"/>
      <c r="F5" s="7">
        <f t="shared" si="0"/>
        <v>16.8</v>
      </c>
      <c r="G5" s="19"/>
      <c r="H5" s="8">
        <f t="shared" si="1"/>
        <v>58.800000000000004</v>
      </c>
      <c r="I5" s="16"/>
      <c r="J5" s="7">
        <f t="shared" si="2"/>
        <v>54.431999999999995</v>
      </c>
      <c r="K5" s="19"/>
      <c r="L5" s="8">
        <f t="shared" si="3"/>
        <v>2.8648421052631576</v>
      </c>
      <c r="N5" s="14" t="s">
        <v>19</v>
      </c>
    </row>
    <row r="6" spans="1:14" x14ac:dyDescent="0.3">
      <c r="A6" s="15" t="s">
        <v>16</v>
      </c>
      <c r="B6" s="9" t="s">
        <v>5</v>
      </c>
      <c r="C6" s="11">
        <v>200</v>
      </c>
      <c r="D6" s="27" t="s">
        <v>23</v>
      </c>
      <c r="E6" s="16"/>
      <c r="F6" s="9">
        <f t="shared" ref="F6:F12" si="4">(C6*E$3)/1000</f>
        <v>20</v>
      </c>
      <c r="G6" s="19"/>
      <c r="H6" s="10">
        <f t="shared" ref="H6:H12" si="5">F6*G$3</f>
        <v>70</v>
      </c>
      <c r="I6" s="16"/>
      <c r="J6" s="9">
        <f t="shared" ref="J6:J12" si="6">(C6/E$3)*I$3</f>
        <v>64.8</v>
      </c>
      <c r="K6" s="19"/>
      <c r="L6" s="10">
        <f t="shared" ref="L6:L12" si="7">J6/K$3</f>
        <v>3.4105263157894736</v>
      </c>
    </row>
    <row r="7" spans="1:14" x14ac:dyDescent="0.3">
      <c r="A7" s="16"/>
      <c r="B7" s="5" t="s">
        <v>6</v>
      </c>
      <c r="C7" s="12">
        <v>65</v>
      </c>
      <c r="D7" s="28" t="s">
        <v>24</v>
      </c>
      <c r="E7" s="16"/>
      <c r="F7" s="5">
        <f t="shared" si="4"/>
        <v>6.5</v>
      </c>
      <c r="G7" s="19"/>
      <c r="H7" s="6">
        <f t="shared" si="5"/>
        <v>22.75</v>
      </c>
      <c r="I7" s="16"/>
      <c r="J7" s="5">
        <f t="shared" si="6"/>
        <v>21.06</v>
      </c>
      <c r="K7" s="19"/>
      <c r="L7" s="6">
        <f t="shared" si="7"/>
        <v>1.108421052631579</v>
      </c>
    </row>
    <row r="8" spans="1:14" x14ac:dyDescent="0.3">
      <c r="A8" s="17"/>
      <c r="B8" s="7" t="s">
        <v>7</v>
      </c>
      <c r="C8" s="13">
        <v>175</v>
      </c>
      <c r="D8" s="29" t="s">
        <v>25</v>
      </c>
      <c r="E8" s="16"/>
      <c r="F8" s="7">
        <f t="shared" si="4"/>
        <v>17.5</v>
      </c>
      <c r="G8" s="19"/>
      <c r="H8" s="8">
        <f t="shared" si="5"/>
        <v>61.25</v>
      </c>
      <c r="I8" s="16"/>
      <c r="J8" s="7">
        <f t="shared" si="6"/>
        <v>56.699999999999996</v>
      </c>
      <c r="K8" s="19"/>
      <c r="L8" s="8">
        <f t="shared" si="7"/>
        <v>2.9842105263157892</v>
      </c>
    </row>
    <row r="9" spans="1:14" x14ac:dyDescent="0.3">
      <c r="A9" s="15" t="s">
        <v>18</v>
      </c>
      <c r="B9" s="9" t="s">
        <v>5</v>
      </c>
      <c r="C9" s="12">
        <v>180</v>
      </c>
      <c r="D9" s="21" t="s">
        <v>27</v>
      </c>
      <c r="E9" s="16"/>
      <c r="F9" s="9">
        <f t="shared" si="4"/>
        <v>18</v>
      </c>
      <c r="G9" s="19"/>
      <c r="H9" s="10">
        <f t="shared" si="5"/>
        <v>63</v>
      </c>
      <c r="I9" s="16"/>
      <c r="J9" s="9">
        <f t="shared" si="6"/>
        <v>58.32</v>
      </c>
      <c r="K9" s="19"/>
      <c r="L9" s="10">
        <f t="shared" si="7"/>
        <v>3.0694736842105264</v>
      </c>
    </row>
    <row r="10" spans="1:14" x14ac:dyDescent="0.3">
      <c r="A10" s="16"/>
      <c r="B10" s="5" t="s">
        <v>6</v>
      </c>
      <c r="C10" s="6">
        <v>31</v>
      </c>
      <c r="D10" s="26" t="s">
        <v>28</v>
      </c>
      <c r="E10" s="16"/>
      <c r="F10" s="5">
        <f t="shared" si="4"/>
        <v>3.1</v>
      </c>
      <c r="G10" s="19"/>
      <c r="H10" s="6">
        <f t="shared" si="5"/>
        <v>10.85</v>
      </c>
      <c r="I10" s="16"/>
      <c r="J10" s="5">
        <f t="shared" si="6"/>
        <v>10.043999999999999</v>
      </c>
      <c r="K10" s="19"/>
      <c r="L10" s="6">
        <f t="shared" si="7"/>
        <v>0.52863157894736834</v>
      </c>
    </row>
    <row r="11" spans="1:14" x14ac:dyDescent="0.3">
      <c r="A11" s="17"/>
      <c r="B11" s="7" t="s">
        <v>7</v>
      </c>
      <c r="C11" s="13">
        <v>223</v>
      </c>
      <c r="D11" s="29" t="s">
        <v>26</v>
      </c>
      <c r="E11" s="16"/>
      <c r="F11" s="7">
        <f t="shared" si="4"/>
        <v>22.3</v>
      </c>
      <c r="G11" s="19"/>
      <c r="H11" s="8">
        <f t="shared" si="5"/>
        <v>78.05</v>
      </c>
      <c r="I11" s="16"/>
      <c r="J11" s="7">
        <f t="shared" si="6"/>
        <v>72.251999999999995</v>
      </c>
      <c r="K11" s="19"/>
      <c r="L11" s="8">
        <f t="shared" si="7"/>
        <v>3.8027368421052627</v>
      </c>
    </row>
    <row r="12" spans="1:14" x14ac:dyDescent="0.3">
      <c r="A12" s="15" t="s">
        <v>15</v>
      </c>
      <c r="B12" s="9" t="s">
        <v>5</v>
      </c>
      <c r="C12" s="6">
        <v>100</v>
      </c>
      <c r="D12" s="26" t="s">
        <v>28</v>
      </c>
      <c r="E12" s="16"/>
      <c r="F12" s="9">
        <f t="shared" si="4"/>
        <v>10</v>
      </c>
      <c r="G12" s="19"/>
      <c r="H12" s="10">
        <f t="shared" si="5"/>
        <v>35</v>
      </c>
      <c r="I12" s="16"/>
      <c r="J12" s="9">
        <f t="shared" si="6"/>
        <v>32.4</v>
      </c>
      <c r="K12" s="19"/>
      <c r="L12" s="10">
        <f t="shared" si="7"/>
        <v>1.7052631578947368</v>
      </c>
    </row>
    <row r="13" spans="1:14" x14ac:dyDescent="0.3">
      <c r="A13" s="16"/>
      <c r="B13" s="5" t="s">
        <v>6</v>
      </c>
      <c r="C13" s="6">
        <v>21.5</v>
      </c>
      <c r="D13" s="26" t="s">
        <v>28</v>
      </c>
      <c r="E13" s="16"/>
      <c r="F13" s="5">
        <f t="shared" ref="F13:F14" si="8">(C13*E$3)/1000</f>
        <v>2.15</v>
      </c>
      <c r="G13" s="19"/>
      <c r="H13" s="6">
        <f t="shared" ref="H13:H14" si="9">F13*G$3</f>
        <v>7.5249999999999995</v>
      </c>
      <c r="I13" s="16"/>
      <c r="J13" s="5">
        <f t="shared" ref="J13:J14" si="10">(C13/E$3)*I$3</f>
        <v>6.9659999999999993</v>
      </c>
      <c r="K13" s="19"/>
      <c r="L13" s="6">
        <f t="shared" ref="L13:L14" si="11">J13/K$3</f>
        <v>0.36663157894736836</v>
      </c>
    </row>
    <row r="14" spans="1:14" x14ac:dyDescent="0.3">
      <c r="A14" s="17"/>
      <c r="B14" s="7" t="s">
        <v>7</v>
      </c>
      <c r="C14" s="8">
        <v>125</v>
      </c>
      <c r="D14" s="25" t="s">
        <v>28</v>
      </c>
      <c r="E14" s="16"/>
      <c r="F14" s="7">
        <f t="shared" si="8"/>
        <v>12.5</v>
      </c>
      <c r="G14" s="19"/>
      <c r="H14" s="8">
        <f t="shared" si="9"/>
        <v>43.75</v>
      </c>
      <c r="I14" s="16"/>
      <c r="J14" s="7">
        <f t="shared" si="10"/>
        <v>40.5</v>
      </c>
      <c r="K14" s="19"/>
      <c r="L14" s="8">
        <f t="shared" si="11"/>
        <v>2.1315789473684212</v>
      </c>
    </row>
    <row r="15" spans="1:14" x14ac:dyDescent="0.3">
      <c r="A15" s="15" t="s">
        <v>17</v>
      </c>
      <c r="B15" s="9" t="s">
        <v>5</v>
      </c>
      <c r="C15" s="12">
        <v>150</v>
      </c>
      <c r="D15" s="21" t="s">
        <v>20</v>
      </c>
      <c r="E15" s="16"/>
      <c r="F15" s="9">
        <f>(C15*E$3)/1000</f>
        <v>15</v>
      </c>
      <c r="G15" s="19"/>
      <c r="H15" s="10">
        <f>F15*G$3</f>
        <v>52.5</v>
      </c>
      <c r="I15" s="16"/>
      <c r="J15" s="9">
        <f>(C15/E$3)*I$3</f>
        <v>48.599999999999994</v>
      </c>
      <c r="K15" s="19"/>
      <c r="L15" s="10">
        <f>J15/K$3</f>
        <v>2.5578947368421048</v>
      </c>
    </row>
    <row r="16" spans="1:14" x14ac:dyDescent="0.3">
      <c r="A16" s="16"/>
      <c r="B16" s="5" t="s">
        <v>6</v>
      </c>
      <c r="C16" s="12">
        <v>60</v>
      </c>
      <c r="D16" s="21" t="s">
        <v>21</v>
      </c>
      <c r="E16" s="16"/>
      <c r="F16" s="5">
        <f t="shared" ref="F16:F17" si="12">(C16*E$3)/1000</f>
        <v>6</v>
      </c>
      <c r="G16" s="19"/>
      <c r="H16" s="6">
        <f t="shared" ref="H16:H17" si="13">F16*G$3</f>
        <v>21</v>
      </c>
      <c r="I16" s="16"/>
      <c r="J16" s="5">
        <f t="shared" ref="J16:J17" si="14">(C16/E$3)*I$3</f>
        <v>19.439999999999998</v>
      </c>
      <c r="K16" s="19"/>
      <c r="L16" s="6">
        <f t="shared" ref="L16:L17" si="15">J16/K$3</f>
        <v>1.023157894736842</v>
      </c>
    </row>
    <row r="17" spans="1:12" x14ac:dyDescent="0.3">
      <c r="A17" s="17"/>
      <c r="B17" s="7" t="s">
        <v>7</v>
      </c>
      <c r="C17" s="13">
        <v>150</v>
      </c>
      <c r="D17" s="22" t="s">
        <v>20</v>
      </c>
      <c r="E17" s="17"/>
      <c r="F17" s="7">
        <f t="shared" si="12"/>
        <v>15</v>
      </c>
      <c r="G17" s="20"/>
      <c r="H17" s="8">
        <f t="shared" si="13"/>
        <v>52.5</v>
      </c>
      <c r="I17" s="17"/>
      <c r="J17" s="7">
        <f t="shared" si="14"/>
        <v>48.599999999999994</v>
      </c>
      <c r="K17" s="20"/>
      <c r="L17" s="8">
        <f t="shared" si="15"/>
        <v>2.5578947368421048</v>
      </c>
    </row>
  </sheetData>
  <mergeCells count="9">
    <mergeCell ref="G3:G17"/>
    <mergeCell ref="I3:I17"/>
    <mergeCell ref="K3:K17"/>
    <mergeCell ref="E3:E17"/>
    <mergeCell ref="A3:A5"/>
    <mergeCell ref="A12:A14"/>
    <mergeCell ref="A6:A8"/>
    <mergeCell ref="A15:A17"/>
    <mergeCell ref="A9:A1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Nutrient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Martin Villena</cp:lastModifiedBy>
  <dcterms:created xsi:type="dcterms:W3CDTF">2025-07-20T01:56:56Z</dcterms:created>
  <dcterms:modified xsi:type="dcterms:W3CDTF">2025-07-23T02:41:02Z</dcterms:modified>
</cp:coreProperties>
</file>